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eba\Documents\"/>
    </mc:Choice>
  </mc:AlternateContent>
  <xr:revisionPtr revIDLastSave="0" documentId="13_ncr:1_{B0E562D6-CA55-44D7-86AF-354D4F6E8B48}" xr6:coauthVersionLast="47" xr6:coauthVersionMax="47" xr10:uidLastSave="{00000000-0000-0000-0000-000000000000}"/>
  <bookViews>
    <workbookView xWindow="-110" yWindow="-110" windowWidth="19420" windowHeight="10420" xr2:uid="{1AF7BE78-B0C9-4EC9-9576-579071A82587}"/>
  </bookViews>
  <sheets>
    <sheet name="Feuil1" sheetId="1" r:id="rId1"/>
  </sheets>
  <definedNames>
    <definedName name="_xlnm._FilterDatabase" localSheetId="0" hidden="1">Feuil1!$A$1:$K$15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2" i="1"/>
  <c r="H7" i="1" l="1"/>
  <c r="I7" i="1" s="1"/>
  <c r="H2" i="1"/>
  <c r="I2" i="1" s="1"/>
</calcChain>
</file>

<file path=xl/sharedStrings.xml><?xml version="1.0" encoding="utf-8"?>
<sst xmlns="http://schemas.openxmlformats.org/spreadsheetml/2006/main" count="103" uniqueCount="67">
  <si>
    <t>NOM</t>
  </si>
  <si>
    <t>PRENOM</t>
  </si>
  <si>
    <t>ADDRESSE</t>
  </si>
  <si>
    <t xml:space="preserve">VILLE </t>
  </si>
  <si>
    <t>SEXE</t>
  </si>
  <si>
    <t>DATE DE NAISSANCE</t>
  </si>
  <si>
    <t>AGE</t>
  </si>
  <si>
    <t>CATEGORIE</t>
  </si>
  <si>
    <t>COTISATION</t>
  </si>
  <si>
    <t>AARAB</t>
  </si>
  <si>
    <t>MOHAMED</t>
  </si>
  <si>
    <t>4 RUE LA LUIZIANNE</t>
  </si>
  <si>
    <t>NADOR</t>
  </si>
  <si>
    <t>M</t>
  </si>
  <si>
    <t>DATE DE P</t>
  </si>
  <si>
    <t>PAYER</t>
  </si>
  <si>
    <t>N</t>
  </si>
  <si>
    <t>CHOUKRIE</t>
  </si>
  <si>
    <t>NADIA</t>
  </si>
  <si>
    <t>2 BOULVARD Med 5</t>
  </si>
  <si>
    <t>HOUCIMA</t>
  </si>
  <si>
    <t>F</t>
  </si>
  <si>
    <t>O</t>
  </si>
  <si>
    <t>OUJDA</t>
  </si>
  <si>
    <t>TAZA</t>
  </si>
  <si>
    <t>FES</t>
  </si>
  <si>
    <t>CASA</t>
  </si>
  <si>
    <t>AHFIR</t>
  </si>
  <si>
    <t>FARSSI</t>
  </si>
  <si>
    <t>MEKAOUI</t>
  </si>
  <si>
    <t>CHERIF</t>
  </si>
  <si>
    <t>HAJJAR</t>
  </si>
  <si>
    <t>EL MARBOUH</t>
  </si>
  <si>
    <t>EL DARAZI</t>
  </si>
  <si>
    <t>EL MARRAKI</t>
  </si>
  <si>
    <t>MOURIDI</t>
  </si>
  <si>
    <t>OUCHADI</t>
  </si>
  <si>
    <t>RAHMOUNI</t>
  </si>
  <si>
    <t>BADRAOUI</t>
  </si>
  <si>
    <t>ATRARI</t>
  </si>
  <si>
    <t>RACHID</t>
  </si>
  <si>
    <t>LAYLA</t>
  </si>
  <si>
    <t>CHAFIK</t>
  </si>
  <si>
    <t>LATIFA</t>
  </si>
  <si>
    <t>ABDEL JALIL</t>
  </si>
  <si>
    <t>IKRAM</t>
  </si>
  <si>
    <t>FOUAD</t>
  </si>
  <si>
    <t>MAJID</t>
  </si>
  <si>
    <t>TARIK</t>
  </si>
  <si>
    <t>NIHAD</t>
  </si>
  <si>
    <t>RAJA</t>
  </si>
  <si>
    <t>45 RUE IMAN ALI</t>
  </si>
  <si>
    <t>6 RUE IBN BATOTA</t>
  </si>
  <si>
    <t>20 BOULEVARD EL MASSIRA</t>
  </si>
  <si>
    <t>3 RUE YOUSSEF BEN TACHAFINE</t>
  </si>
  <si>
    <t>89 RUE JICH MALAKI</t>
  </si>
  <si>
    <t>8 RUE SAADA</t>
  </si>
  <si>
    <t>56 HAY EL FARAH</t>
  </si>
  <si>
    <t>6 RUE IFRANE</t>
  </si>
  <si>
    <t>15 RUE ZARTONIE</t>
  </si>
  <si>
    <t>78 RUE ILYA ABOUMADI</t>
  </si>
  <si>
    <t>9 RUE ABOUFIRASSE ALHAMADANI</t>
  </si>
  <si>
    <t>5 RUE BEN ZAIDOUNE</t>
  </si>
  <si>
    <t>-</t>
  </si>
  <si>
    <t>min</t>
  </si>
  <si>
    <t>max</t>
  </si>
  <si>
    <t>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</si>
</sst>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&quot; dh&quot;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A02C-1A0F-4271-9206-12441F7A2DFC}">
  <dimension ref="A1:K18"/>
  <sheetViews>
    <sheetView tabSelected="1" topLeftCell="B1" workbookViewId="0">
      <selection activeCell="G16" sqref="G16"/>
    </sheetView>
  </sheetViews>
  <sheetFormatPr baseColWidth="10" defaultRowHeight="14.5" x14ac:dyDescent="0.35"/>
  <cols>
    <col min="1" max="1" width="21.08984375" customWidth="1"/>
    <col min="2" max="2" width="21.1796875" customWidth="1"/>
    <col min="3" max="3" width="31.08984375" customWidth="1"/>
    <col min="4" max="4" width="22.1796875" customWidth="1"/>
    <col min="5" max="5" width="7.26953125" customWidth="1"/>
    <col min="6" max="6" width="22" customWidth="1"/>
    <col min="7" max="7" width="7.26953125" customWidth="1"/>
    <col min="8" max="8" width="21.6328125" customWidth="1"/>
    <col min="9" max="9" width="14.816406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14</v>
      </c>
      <c r="K1" s="2" t="s">
        <v>15</v>
      </c>
    </row>
    <row r="2" spans="1:11" x14ac:dyDescent="0.35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9">
        <v>29230</v>
      </c>
      <c r="G2" s="10">
        <f ca="1">(TODAY()-F2)/365</f>
        <v>44.780821917808218</v>
      </c>
      <c r="H2" s="8" t="str">
        <f ca="1">IF(G2&lt;13,"cadet",IF(G2&lt;19,"Junior","Senior"))</f>
        <v>Senior</v>
      </c>
      <c r="I2" s="11">
        <f ca="1">IF(H2="cadet",150,IF(H2="Junior",175,200))</f>
        <v>200</v>
      </c>
      <c r="J2" s="8" t="s">
        <v>63</v>
      </c>
      <c r="K2" s="8" t="s">
        <v>16</v>
      </c>
    </row>
    <row r="3" spans="1:11" x14ac:dyDescent="0.3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4">
        <v>32417</v>
      </c>
      <c r="G3" s="5">
        <f t="shared" ref="G3:G15" ca="1" si="0">(TODAY()-F3)/365</f>
        <v>36.049315068493151</v>
      </c>
      <c r="H3" s="3" t="str">
        <f t="shared" ref="H3:H16" ca="1" si="1">IF(G3&lt;13,"cadet",IF(G3&lt;19,"Junior","Senior"))</f>
        <v>Senior</v>
      </c>
      <c r="I3" s="6">
        <f t="shared" ref="I3:I16" ca="1" si="2">IF(H3="cadet",150,IF(H3="Junior",175,200))</f>
        <v>200</v>
      </c>
      <c r="J3" s="4">
        <v>35919</v>
      </c>
      <c r="K3" s="3" t="s">
        <v>22</v>
      </c>
    </row>
    <row r="4" spans="1:11" x14ac:dyDescent="0.35">
      <c r="A4" s="3" t="s">
        <v>28</v>
      </c>
      <c r="B4" s="3" t="s">
        <v>10</v>
      </c>
      <c r="C4" s="3" t="s">
        <v>51</v>
      </c>
      <c r="D4" s="3" t="s">
        <v>23</v>
      </c>
      <c r="E4" s="3" t="s">
        <v>13</v>
      </c>
      <c r="F4" s="4">
        <v>39480</v>
      </c>
      <c r="G4" s="5">
        <f t="shared" ca="1" si="0"/>
        <v>16.698630136986303</v>
      </c>
      <c r="H4" s="3" t="str">
        <f t="shared" ca="1" si="1"/>
        <v>Junior</v>
      </c>
      <c r="I4" s="6">
        <f t="shared" ca="1" si="2"/>
        <v>175</v>
      </c>
      <c r="J4" s="4">
        <v>35918</v>
      </c>
      <c r="K4" s="3" t="s">
        <v>22</v>
      </c>
    </row>
    <row r="5" spans="1:11" x14ac:dyDescent="0.35">
      <c r="A5" s="8" t="s">
        <v>29</v>
      </c>
      <c r="B5" s="8" t="s">
        <v>40</v>
      </c>
      <c r="C5" s="8" t="s">
        <v>52</v>
      </c>
      <c r="D5" s="8" t="s">
        <v>12</v>
      </c>
      <c r="E5" s="8" t="s">
        <v>13</v>
      </c>
      <c r="F5" s="9">
        <v>37235</v>
      </c>
      <c r="G5" s="10">
        <f t="shared" ca="1" si="0"/>
        <v>22.849315068493151</v>
      </c>
      <c r="H5" s="8" t="str">
        <f t="shared" ca="1" si="1"/>
        <v>Senior</v>
      </c>
      <c r="I5" s="11">
        <f t="shared" ca="1" si="2"/>
        <v>200</v>
      </c>
      <c r="J5" s="8" t="s">
        <v>63</v>
      </c>
      <c r="K5" s="8" t="s">
        <v>16</v>
      </c>
    </row>
    <row r="6" spans="1:11" x14ac:dyDescent="0.35">
      <c r="A6" s="3" t="s">
        <v>30</v>
      </c>
      <c r="B6" s="3" t="s">
        <v>41</v>
      </c>
      <c r="C6" s="3" t="s">
        <v>53</v>
      </c>
      <c r="D6" s="3" t="s">
        <v>12</v>
      </c>
      <c r="E6" s="3" t="s">
        <v>21</v>
      </c>
      <c r="F6" s="4">
        <v>32092</v>
      </c>
      <c r="G6" s="5">
        <f t="shared" ca="1" si="0"/>
        <v>36.939726027397263</v>
      </c>
      <c r="H6" s="3" t="str">
        <f t="shared" ca="1" si="1"/>
        <v>Senior</v>
      </c>
      <c r="I6" s="6">
        <f t="shared" ca="1" si="2"/>
        <v>200</v>
      </c>
      <c r="J6" s="4">
        <v>35921</v>
      </c>
      <c r="K6" s="3" t="s">
        <v>22</v>
      </c>
    </row>
    <row r="7" spans="1:11" x14ac:dyDescent="0.35">
      <c r="A7" s="3" t="s">
        <v>31</v>
      </c>
      <c r="B7" s="3" t="s">
        <v>42</v>
      </c>
      <c r="C7" s="3" t="s">
        <v>54</v>
      </c>
      <c r="D7" s="3" t="s">
        <v>23</v>
      </c>
      <c r="E7" s="3" t="s">
        <v>13</v>
      </c>
      <c r="F7" s="4">
        <v>41620</v>
      </c>
      <c r="G7" s="5">
        <f t="shared" ca="1" si="0"/>
        <v>10.835616438356164</v>
      </c>
      <c r="H7" s="3" t="str">
        <f ca="1">IF(G7&lt;13,"cadet",IF(G7&lt;19,"Junior","Senior"))</f>
        <v>cadet</v>
      </c>
      <c r="I7" s="6">
        <f t="shared" ca="1" si="2"/>
        <v>150</v>
      </c>
      <c r="J7" s="4">
        <v>35917</v>
      </c>
      <c r="K7" s="3" t="s">
        <v>22</v>
      </c>
    </row>
    <row r="8" spans="1:11" x14ac:dyDescent="0.35">
      <c r="A8" s="3" t="s">
        <v>32</v>
      </c>
      <c r="B8" s="3" t="s">
        <v>43</v>
      </c>
      <c r="C8" s="3" t="s">
        <v>55</v>
      </c>
      <c r="D8" s="3" t="s">
        <v>24</v>
      </c>
      <c r="E8" s="3" t="s">
        <v>21</v>
      </c>
      <c r="F8" s="4">
        <v>27375</v>
      </c>
      <c r="G8" s="5">
        <f t="shared" ca="1" si="0"/>
        <v>49.863013698630134</v>
      </c>
      <c r="H8" s="3" t="str">
        <f t="shared" ca="1" si="1"/>
        <v>Senior</v>
      </c>
      <c r="I8" s="6">
        <f t="shared" ca="1" si="2"/>
        <v>200</v>
      </c>
      <c r="J8" s="4">
        <v>35923</v>
      </c>
      <c r="K8" s="3" t="s">
        <v>22</v>
      </c>
    </row>
    <row r="9" spans="1:11" x14ac:dyDescent="0.35">
      <c r="A9" s="3" t="s">
        <v>33</v>
      </c>
      <c r="B9" s="3" t="s">
        <v>44</v>
      </c>
      <c r="C9" s="3" t="s">
        <v>56</v>
      </c>
      <c r="D9" s="3" t="s">
        <v>25</v>
      </c>
      <c r="E9" s="3" t="s">
        <v>13</v>
      </c>
      <c r="F9" s="4">
        <v>32487</v>
      </c>
      <c r="G9" s="5">
        <f t="shared" ca="1" si="0"/>
        <v>35.857534246575341</v>
      </c>
      <c r="H9" s="3" t="str">
        <f t="shared" ca="1" si="1"/>
        <v>Senior</v>
      </c>
      <c r="I9" s="6">
        <f t="shared" ca="1" si="2"/>
        <v>200</v>
      </c>
      <c r="J9" s="4">
        <v>35924</v>
      </c>
      <c r="K9" s="3" t="s">
        <v>22</v>
      </c>
    </row>
    <row r="10" spans="1:11" x14ac:dyDescent="0.35">
      <c r="A10" s="8" t="s">
        <v>34</v>
      </c>
      <c r="B10" s="8" t="s">
        <v>45</v>
      </c>
      <c r="C10" s="8" t="s">
        <v>57</v>
      </c>
      <c r="D10" s="8" t="s">
        <v>26</v>
      </c>
      <c r="E10" s="8" t="s">
        <v>21</v>
      </c>
      <c r="F10" s="9">
        <v>40190</v>
      </c>
      <c r="G10" s="10">
        <f t="shared" ca="1" si="0"/>
        <v>14.753424657534246</v>
      </c>
      <c r="H10" s="8" t="str">
        <f t="shared" ca="1" si="1"/>
        <v>Junior</v>
      </c>
      <c r="I10" s="11">
        <f t="shared" ca="1" si="2"/>
        <v>175</v>
      </c>
      <c r="J10" s="8" t="s">
        <v>63</v>
      </c>
      <c r="K10" s="8" t="s">
        <v>16</v>
      </c>
    </row>
    <row r="11" spans="1:11" x14ac:dyDescent="0.35">
      <c r="A11" s="8" t="s">
        <v>35</v>
      </c>
      <c r="B11" s="8" t="s">
        <v>46</v>
      </c>
      <c r="C11" s="8" t="s">
        <v>58</v>
      </c>
      <c r="D11" s="8" t="s">
        <v>25</v>
      </c>
      <c r="E11" s="8" t="s">
        <v>13</v>
      </c>
      <c r="F11" s="9">
        <v>27010</v>
      </c>
      <c r="G11" s="10">
        <f t="shared" ca="1" si="0"/>
        <v>50.863013698630134</v>
      </c>
      <c r="H11" s="8" t="str">
        <f t="shared" ca="1" si="1"/>
        <v>Senior</v>
      </c>
      <c r="I11" s="11">
        <f t="shared" ca="1" si="2"/>
        <v>200</v>
      </c>
      <c r="J11" s="8" t="s">
        <v>63</v>
      </c>
      <c r="K11" s="8" t="s">
        <v>16</v>
      </c>
    </row>
    <row r="12" spans="1:11" x14ac:dyDescent="0.35">
      <c r="A12" s="3" t="s">
        <v>36</v>
      </c>
      <c r="B12" s="3" t="s">
        <v>47</v>
      </c>
      <c r="C12" s="3" t="s">
        <v>59</v>
      </c>
      <c r="D12" s="3" t="s">
        <v>27</v>
      </c>
      <c r="E12" s="3" t="s">
        <v>13</v>
      </c>
      <c r="F12" s="4">
        <v>26431</v>
      </c>
      <c r="G12" s="5">
        <f t="shared" ca="1" si="0"/>
        <v>52.449315068493149</v>
      </c>
      <c r="H12" s="3" t="str">
        <f t="shared" ca="1" si="1"/>
        <v>Senior</v>
      </c>
      <c r="I12" s="6">
        <f t="shared" ca="1" si="2"/>
        <v>200</v>
      </c>
      <c r="J12" s="4">
        <v>35943</v>
      </c>
      <c r="K12" s="3" t="s">
        <v>22</v>
      </c>
    </row>
    <row r="13" spans="1:11" x14ac:dyDescent="0.35">
      <c r="A13" s="3" t="s">
        <v>37</v>
      </c>
      <c r="B13" s="3" t="s">
        <v>48</v>
      </c>
      <c r="C13" s="3" t="s">
        <v>60</v>
      </c>
      <c r="D13" s="3" t="s">
        <v>24</v>
      </c>
      <c r="E13" s="3" t="s">
        <v>13</v>
      </c>
      <c r="F13" s="4">
        <v>38414</v>
      </c>
      <c r="G13" s="5">
        <f t="shared" ca="1" si="0"/>
        <v>19.61917808219178</v>
      </c>
      <c r="H13" s="3" t="str">
        <f t="shared" ca="1" si="1"/>
        <v>Senior</v>
      </c>
      <c r="I13" s="6">
        <f t="shared" ca="1" si="2"/>
        <v>200</v>
      </c>
      <c r="J13" s="4">
        <v>35927</v>
      </c>
      <c r="K13" s="3" t="s">
        <v>22</v>
      </c>
    </row>
    <row r="14" spans="1:11" x14ac:dyDescent="0.35">
      <c r="A14" s="8" t="s">
        <v>38</v>
      </c>
      <c r="B14" s="8" t="s">
        <v>49</v>
      </c>
      <c r="C14" s="8" t="s">
        <v>61</v>
      </c>
      <c r="D14" s="8" t="s">
        <v>24</v>
      </c>
      <c r="E14" s="8" t="s">
        <v>21</v>
      </c>
      <c r="F14" s="9">
        <v>37723</v>
      </c>
      <c r="G14" s="10">
        <f t="shared" ca="1" si="0"/>
        <v>21.512328767123286</v>
      </c>
      <c r="H14" s="8" t="str">
        <f t="shared" ca="1" si="1"/>
        <v>Senior</v>
      </c>
      <c r="I14" s="11">
        <f t="shared" ca="1" si="2"/>
        <v>200</v>
      </c>
      <c r="J14" s="8" t="s">
        <v>63</v>
      </c>
      <c r="K14" s="12" t="s">
        <v>16</v>
      </c>
    </row>
    <row r="15" spans="1:11" x14ac:dyDescent="0.35">
      <c r="A15" s="3" t="s">
        <v>39</v>
      </c>
      <c r="B15" s="3" t="s">
        <v>50</v>
      </c>
      <c r="C15" s="3" t="s">
        <v>62</v>
      </c>
      <c r="D15" s="3" t="s">
        <v>23</v>
      </c>
      <c r="E15" s="3" t="s">
        <v>21</v>
      </c>
      <c r="F15" s="4">
        <v>42370</v>
      </c>
      <c r="G15" s="5">
        <f t="shared" ca="1" si="0"/>
        <v>8.7808219178082183</v>
      </c>
      <c r="H15" s="3" t="str">
        <f t="shared" ca="1" si="1"/>
        <v>cadet</v>
      </c>
      <c r="I15" s="6">
        <f t="shared" ca="1" si="2"/>
        <v>150</v>
      </c>
      <c r="J15" s="4">
        <v>36306</v>
      </c>
      <c r="K15" s="7" t="s">
        <v>22</v>
      </c>
    </row>
    <row r="16" spans="1:11" x14ac:dyDescent="0.35">
      <c r="F16" s="1" t="s">
        <v>64</v>
      </c>
      <c r="G16" s="1"/>
    </row>
    <row r="17" spans="6:7" x14ac:dyDescent="0.35">
      <c r="F17" s="1" t="s">
        <v>65</v>
      </c>
      <c r="G17" s="1"/>
    </row>
    <row r="18" spans="6:7" x14ac:dyDescent="0.35">
      <c r="F18" s="1" t="s">
        <v>66</v>
      </c>
      <c r="G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MASSOUSSI AYA</dc:creator>
  <cp:lastModifiedBy>MASSOUSSI AYA</cp:lastModifiedBy>
  <dcterms:created xsi:type="dcterms:W3CDTF">2024-10-10T13:06:11Z</dcterms:created>
  <dcterms:modified xsi:type="dcterms:W3CDTF">2024-10-10T14:48:53Z</dcterms:modified>
</cp:coreProperties>
</file>